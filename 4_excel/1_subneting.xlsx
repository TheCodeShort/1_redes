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aa6bbb67e9148610/Documentos/Doc-RANNY/2_estudios/0_cun_ingenieria_sistemas/0_cun_estudio_info/4_informacion_clase/1_redes/4_excel/"/>
    </mc:Choice>
  </mc:AlternateContent>
  <xr:revisionPtr revIDLastSave="281" documentId="8_{CDA3917A-B10C-4DCB-B499-3D3AB2535033}" xr6:coauthVersionLast="47" xr6:coauthVersionMax="47" xr10:uidLastSave="{4DD017B4-FFA6-4357-A1D8-D1ADCA2AD6CF}"/>
  <bookViews>
    <workbookView xWindow="-120" yWindow="-120" windowWidth="29040" windowHeight="16440" xr2:uid="{C31D6F37-FE21-4610-AE49-1C275BB94704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P14" i="1" l="1"/>
  <c r="P15" i="1" s="1"/>
  <c r="P16" i="1" s="1"/>
  <c r="S15" i="1" s="1"/>
  <c r="S16" i="1" s="1"/>
  <c r="J3" i="1"/>
  <c r="L9" i="1"/>
  <c r="L8" i="1"/>
  <c r="L10" i="1" s="1"/>
  <c r="L2" i="1"/>
  <c r="L3" i="1" s="1"/>
  <c r="J4" i="1"/>
  <c r="S14" i="1" l="1"/>
  <c r="R14" i="1" s="1"/>
  <c r="S13" i="1"/>
  <c r="R13" i="1" s="1"/>
  <c r="Q14" i="1"/>
  <c r="Q15" i="1"/>
  <c r="R15" i="1"/>
  <c r="L5" i="1"/>
</calcChain>
</file>

<file path=xl/sharedStrings.xml><?xml version="1.0" encoding="utf-8"?>
<sst xmlns="http://schemas.openxmlformats.org/spreadsheetml/2006/main" count="31" uniqueCount="28">
  <si>
    <t xml:space="preserve">Cálculo de Segmentación </t>
  </si>
  <si>
    <t>Bits Prestados (n)</t>
  </si>
  <si>
    <t>Total Direcciones</t>
  </si>
  <si>
    <t>Hosts Útiles (-2)</t>
  </si>
  <si>
    <t>Nueva mascara</t>
  </si>
  <si>
    <t>255.255.255.0</t>
  </si>
  <si>
    <t>Suma de Bits</t>
  </si>
  <si>
    <t>Máscara Original</t>
  </si>
  <si>
    <t xml:space="preserve">Salto de red </t>
  </si>
  <si>
    <t>Mascara  (la infraestructura)</t>
  </si>
  <si>
    <t>Capacidad por Subred</t>
  </si>
  <si>
    <t>Hosts Útiles</t>
  </si>
  <si>
    <t>Bits para Hosts</t>
  </si>
  <si>
    <t>VLAN</t>
  </si>
  <si>
    <t>ID de Red</t>
  </si>
  <si>
    <t>Broadcast</t>
  </si>
  <si>
    <t>Nombre / Uso</t>
  </si>
  <si>
    <t>Gateway (Router)</t>
  </si>
  <si>
    <t>Rango de Hosts Útiles</t>
  </si>
  <si>
    <t>192.168.1.0</t>
  </si>
  <si>
    <t>192.168.1.1</t>
  </si>
  <si>
    <t>Gestión (TI)</t>
  </si>
  <si>
    <t>---</t>
  </si>
  <si>
    <t>RESERVA</t>
  </si>
  <si>
    <t>Espacio para expansión</t>
  </si>
  <si>
    <t xml:space="preserve">Tabla de Direccionamiento </t>
  </si>
  <si>
    <t>SI</t>
  </si>
  <si>
    <t>MO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</si>
</sst>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5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1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0" borderId="0" xfId="0" applyBorder="1"/>
    <xf numFmtId="0" fontId="2" fillId="0" borderId="0" xfId="0" applyFont="1" applyAlignment="1">
      <alignment vertical="center"/>
    </xf>
    <xf numFmtId="0" fontId="4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E42C2-81C1-4508-AD03-E4BF5839B7EE}">
  <dimension ref="A1:S25"/>
  <sheetViews>
    <sheetView tabSelected="1" zoomScaleNormal="100" workbookViewId="0">
      <selection activeCell="J3" sqref="J3"/>
    </sheetView>
  </sheetViews>
  <sheetFormatPr baseColWidth="10" defaultRowHeight="15" x14ac:dyDescent="0.25"/>
  <cols>
    <col min="9" max="9" width="17.5703125" customWidth="1"/>
    <col min="11" max="11" width="24" bestFit="1" customWidth="1"/>
    <col min="12" max="12" width="17" customWidth="1"/>
    <col min="13" max="13" width="8.5703125" customWidth="1"/>
    <col min="14" max="14" width="7" customWidth="1"/>
    <col min="15" max="15" width="16.42578125" customWidth="1"/>
    <col min="16" max="16" width="20" customWidth="1"/>
    <col min="17" max="17" width="19.5703125" customWidth="1"/>
    <col min="18" max="18" width="17.140625" customWidth="1"/>
    <col min="19" max="19" width="20.140625" customWidth="1"/>
  </cols>
  <sheetData>
    <row r="1" spans="1:19" x14ac:dyDescent="0.25">
      <c r="A1" s="4" t="s">
        <v>1</v>
      </c>
      <c r="B1" s="5"/>
      <c r="C1" s="5"/>
      <c r="D1" s="5"/>
      <c r="E1" s="5"/>
      <c r="F1" s="5"/>
      <c r="G1" s="5"/>
      <c r="H1" s="6"/>
      <c r="I1" s="7" t="s">
        <v>0</v>
      </c>
      <c r="J1" s="8"/>
      <c r="K1" s="9" t="s">
        <v>9</v>
      </c>
      <c r="L1" s="9"/>
    </row>
    <row r="2" spans="1:19" x14ac:dyDescent="0.25">
      <c r="A2" s="2">
        <v>0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1" t="s">
        <v>1</v>
      </c>
      <c r="J2" s="2">
        <v>2</v>
      </c>
      <c r="K2" s="1" t="s">
        <v>6</v>
      </c>
      <c r="L2" s="1">
        <f>256-(2^(8-J2))</f>
        <v>192</v>
      </c>
    </row>
    <row r="3" spans="1:19" x14ac:dyDescent="0.25">
      <c r="A3" s="3">
        <v>128</v>
      </c>
      <c r="B3" s="3">
        <v>64</v>
      </c>
      <c r="C3" s="3">
        <v>32</v>
      </c>
      <c r="D3" s="3">
        <v>16</v>
      </c>
      <c r="E3" s="3">
        <v>8</v>
      </c>
      <c r="F3" s="3">
        <v>4</v>
      </c>
      <c r="G3" s="3">
        <v>2</v>
      </c>
      <c r="H3" s="3">
        <v>1</v>
      </c>
      <c r="I3" s="1" t="s">
        <v>2</v>
      </c>
      <c r="J3" s="2">
        <f>2^J2</f>
        <v>4</v>
      </c>
      <c r="K3" s="1" t="s">
        <v>8</v>
      </c>
      <c r="L3" s="1">
        <f>256-L2</f>
        <v>64</v>
      </c>
    </row>
    <row r="4" spans="1:19" x14ac:dyDescent="0.25">
      <c r="I4" s="1" t="s">
        <v>3</v>
      </c>
      <c r="J4" s="2">
        <f>(2^J2)-2</f>
        <v>2</v>
      </c>
      <c r="K4" s="1" t="s">
        <v>7</v>
      </c>
      <c r="L4" s="1" t="s">
        <v>5</v>
      </c>
    </row>
    <row r="5" spans="1:19" x14ac:dyDescent="0.25">
      <c r="K5" s="1" t="s">
        <v>4</v>
      </c>
      <c r="L5" s="1" t="str">
        <f>"255.255.255." &amp; L2</f>
        <v>255.255.255.192</v>
      </c>
    </row>
    <row r="7" spans="1:19" x14ac:dyDescent="0.25">
      <c r="K7" s="10" t="s">
        <v>10</v>
      </c>
      <c r="L7" s="10"/>
    </row>
    <row r="8" spans="1:19" x14ac:dyDescent="0.25">
      <c r="K8" s="1" t="s">
        <v>12</v>
      </c>
      <c r="L8" s="1">
        <f>8-J2</f>
        <v>6</v>
      </c>
    </row>
    <row r="9" spans="1:19" x14ac:dyDescent="0.25">
      <c r="K9" s="1" t="s">
        <v>8</v>
      </c>
      <c r="L9" s="1">
        <f>(2^(8-J2))</f>
        <v>64</v>
      </c>
    </row>
    <row r="10" spans="1:19" x14ac:dyDescent="0.25">
      <c r="K10" s="1" t="s">
        <v>11</v>
      </c>
      <c r="L10" s="1">
        <f>(2^(L8))-2</f>
        <v>62</v>
      </c>
      <c r="N10" s="11"/>
      <c r="O10" s="11"/>
      <c r="P10" s="11"/>
      <c r="Q10" s="11"/>
      <c r="R10" s="11"/>
    </row>
    <row r="11" spans="1:19" ht="18.75" x14ac:dyDescent="0.25">
      <c r="N11" s="16" t="s">
        <v>25</v>
      </c>
      <c r="O11" s="16"/>
      <c r="P11" s="16"/>
      <c r="Q11" s="16"/>
      <c r="R11" s="16"/>
      <c r="S11" s="16"/>
    </row>
    <row r="12" spans="1:19" ht="33.75" customHeight="1" x14ac:dyDescent="0.25">
      <c r="N12" s="13" t="s">
        <v>13</v>
      </c>
      <c r="O12" s="13" t="s">
        <v>16</v>
      </c>
      <c r="P12" s="13" t="s">
        <v>14</v>
      </c>
      <c r="Q12" s="13" t="s">
        <v>17</v>
      </c>
      <c r="R12" s="13" t="s">
        <v>18</v>
      </c>
      <c r="S12" s="13" t="s">
        <v>15</v>
      </c>
    </row>
    <row r="13" spans="1:19" ht="37.5" customHeight="1" x14ac:dyDescent="0.25">
      <c r="N13" s="14">
        <v>10</v>
      </c>
      <c r="O13" s="15" t="s">
        <v>26</v>
      </c>
      <c r="P13" s="15" t="s">
        <v>19</v>
      </c>
      <c r="Q13" s="15" t="s">
        <v>20</v>
      </c>
      <c r="R13" s="15" t="str">
        <f>"192.168.1." &amp; (VALUE(RIGHT(P13, LEN(P13)-SEARCH(".",P13,10)))+2) &amp; " - " &amp; "192.168.1." &amp; (VALUE(RIGHT(S13, LEN(S13)-SEARCH(".",S13,10)))-1)</f>
        <v>192.168.1.2 - 192.168.1.62</v>
      </c>
      <c r="S13" s="15" t="str">
        <f>"192.168.1." &amp; (VALUE(RIGHT(P14, LEN(P14)-SEARCH(".",P14,10)))-1)</f>
        <v>192.168.1.63</v>
      </c>
    </row>
    <row r="14" spans="1:19" ht="36" customHeight="1" x14ac:dyDescent="0.25">
      <c r="N14" s="14">
        <v>20</v>
      </c>
      <c r="O14" s="15" t="s">
        <v>27</v>
      </c>
      <c r="P14" s="15" t="str">
        <f>"192.168.1." &amp; ((VALUE(RIGHT(P13, LEN(P13)-SEARCH(".",P13,10)))+$L$3))</f>
        <v>192.168.1.64</v>
      </c>
      <c r="Q14" s="15" t="str">
        <f>"192.168.1." &amp; (VALUE(RIGHT(P14, LEN(P14)-SEARCH(".",P14,10))) + 1)</f>
        <v>192.168.1.65</v>
      </c>
      <c r="R14" s="15" t="str">
        <f>"192.168.1." &amp; (VALUE(RIGHT(P14, LEN(P14)-SEARCH(".",P14,10)))+2) &amp; " - " &amp; "192.168.1." &amp; (VALUE(RIGHT(S14, LEN(S14)-SEARCH(".",S14,10)))-1)</f>
        <v>192.168.1.66 - 192.168.1.126</v>
      </c>
      <c r="S14" s="15" t="str">
        <f>"192.168.1." &amp; (VALUE(RIGHT(P15, LEN(P15)-SEARCH(".",P15,10)))-1)</f>
        <v>192.168.1.127</v>
      </c>
    </row>
    <row r="15" spans="1:19" ht="42.75" x14ac:dyDescent="0.25">
      <c r="N15" s="14">
        <v>88</v>
      </c>
      <c r="O15" s="15" t="s">
        <v>21</v>
      </c>
      <c r="P15" s="15" t="str">
        <f>"192.168.1." &amp; ((VALUE(RIGHT(P14, LEN(P14)-SEARCH(".",P14,10)))+$L$3))</f>
        <v>192.168.1.128</v>
      </c>
      <c r="Q15" s="15" t="str">
        <f>"192.168.1." &amp; (VALUE(RIGHT(P15, LEN(P15)-SEARCH(".",P15,10))) + 1)</f>
        <v>192.168.1.129</v>
      </c>
      <c r="R15" s="15" t="str">
        <f>"192.168.1." &amp; (VALUE(RIGHT(P15, LEN(P15)-SEARCH(".",P15,10)))+2) &amp; " - " &amp; "192.168.1." &amp; (VALUE(RIGHT(S15, LEN(S15)-SEARCH(".",S15,10)))-1)</f>
        <v>192.168.1.130 - 192.168.1.190</v>
      </c>
      <c r="S15" s="15" t="str">
        <f>"192.168.1."  &amp; (VALUE(RIGHT(P16, LEN(P16)-SEARCH(".",P16,10)))-1)</f>
        <v>192.168.1.191</v>
      </c>
    </row>
    <row r="16" spans="1:19" ht="42.75" x14ac:dyDescent="0.25">
      <c r="N16" s="14" t="s">
        <v>22</v>
      </c>
      <c r="O16" s="14" t="s">
        <v>23</v>
      </c>
      <c r="P16" s="14" t="str">
        <f>"192.168.1." &amp; ((VALUE(RIGHT(P15, LEN(P15)-SEARCH(".",P15,10)))+$L$3))</f>
        <v>192.168.1.192</v>
      </c>
      <c r="Q16" s="14" t="s">
        <v>22</v>
      </c>
      <c r="R16" s="14" t="s">
        <v>24</v>
      </c>
      <c r="S16" s="14" t="str">
        <f>"192.168.1." &amp; ((VALUE(RIGHT(S15, LEN(S15)-SEARCH(".",S15,10)))+$L$3))</f>
        <v>192.168.1.255</v>
      </c>
    </row>
    <row r="25" spans="14:14" ht="18.75" x14ac:dyDescent="0.25">
      <c r="N25" s="12"/>
    </row>
  </sheetData>
  <mergeCells count="5">
    <mergeCell ref="N11:S11"/>
    <mergeCell ref="A1:H1"/>
    <mergeCell ref="I1:J1"/>
    <mergeCell ref="K1:L1"/>
    <mergeCell ref="K7:L7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ranndy ca</dc:creator>
  <cp:lastModifiedBy>ranndy ca</cp:lastModifiedBy>
  <dcterms:created xsi:type="dcterms:W3CDTF">2026-05-02T00:09:34Z</dcterms:created>
  <dcterms:modified xsi:type="dcterms:W3CDTF">2026-05-02T05:40:04Z</dcterms:modified>
</cp:coreProperties>
</file>