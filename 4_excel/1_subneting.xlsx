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8D0710A-1030-4E85-8F56-B54F4C072B3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/>
  <c r="L10" i="1"/>
  <c r="P15" i="1"/>
  <c r="Q15" i="1"/>
  <c r="R15" i="1"/>
  <c r="S15" i="1"/>
  <c r="S13" i="1"/>
  <c r="R13" i="1"/>
  <c r="L8" i="1"/>
  <c r="L5" i="1"/>
  <c r="L9" i="1"/>
  <c r="S14" i="1"/>
  <c r="P14" i="1"/>
  <c r="Q14" i="1"/>
  <c r="R14" i="1"/>
  <c r="L2" i="1"/>
  <c r="J3" i="1"/>
  <c r="L3" i="1"/>
  <c r="S16" i="1"/>
  <c r="P16" i="1"/>
</calcChain>
</file>

<file path=xl/sharedStrings.xml><?xml version="1.0" encoding="utf-8"?>
<sst xmlns="http://schemas.openxmlformats.org/spreadsheetml/2006/main" count="31" uniqueCount="28">
  <si>
    <t>Bits Prestados (n)</t>
  </si>
  <si>
    <t>Cálculo de Segmentación </t>
  </si>
  <si>
    <t>Mascara  (la infraestructura)</t>
  </si>
  <si>
    <t>Suma de Bits</t>
  </si>
  <si>
    <t>Total Direcciones</t>
  </si>
  <si>
    <t>Salto de red </t>
  </si>
  <si>
    <t>Hosts Útiles (-2)</t>
  </si>
  <si>
    <t>Máscara Original</t>
  </si>
  <si>
    <t>255.255.255.0</t>
  </si>
  <si>
    <t>Nueva mascara</t>
  </si>
  <si>
    <t>Capacidad por Subred</t>
  </si>
  <si>
    <t>Bits para Hosts</t>
  </si>
  <si>
    <t>Hosts Útiles</t>
  </si>
  <si>
    <t>Tabla de Direccionamiento </t>
  </si>
  <si>
    <t>VLAN</t>
  </si>
  <si>
    <t>Nombre / Uso</t>
  </si>
  <si>
    <t>ID de Red</t>
  </si>
  <si>
    <t>Gateway (Router)</t>
  </si>
  <si>
    <t>Rango de Hosts Útiles</t>
  </si>
  <si>
    <t>Broadcast</t>
  </si>
  <si>
    <t>SI</t>
  </si>
  <si>
    <t>192.168.1.0</t>
  </si>
  <si>
    <t>192.168.1.1</t>
  </si>
  <si>
    <t>MO</t>
  </si>
  <si>
    <t>Gestión (TI)</t>
  </si>
  <si>
    <t>---</t>
  </si>
  <si>
    <t>RESERVA</t>
  </si>
  <si>
    <t>Espacio para expansión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</si>
</sst>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name val="Aptos Narrow"/>
      <sz val="11.00"/>
      <color rgb="FF000000"/>
      <family val="2"/>
    </font>
    <font>
      <name val="Arial"/>
      <sz val="15.00"/>
      <color rgb="FF000000"/>
      <family val="2"/>
    </font>
    <font>
      <name val="Arial"/>
      <sz val="11.00"/>
      <b/>
      <color rgb="FF000000"/>
      <family val="2"/>
    </font>
    <font>
      <name val="Arial"/>
      <sz val="11.00"/>
      <color rgb="FF000000"/>
      <family val="2"/>
    </font>
  </fonts>
  <fills count="10">
    <fill>
      <patternFill patternType="none"/>
    </fill>
    <fill>
      <patternFill patternType="gray125"/>
    </fill>
    <fill>
      <patternFill patternType="solid">
        <fgColor rgb="FFE97132"/>
        <bgColor indexed="64"/>
      </patternFill>
    </fill>
    <fill>
      <patternFill patternType="solid">
        <fgColor rgb="FFD86E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F9E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6">
    <xf numFmtId="0" fontId="0" fillId="0" borderId="0"/>
    <xf fontId="1" applyFont="1" fillId="2" applyFill="1" borderId="1" applyBorder="1" applyAlignment="1">
      <alignment horizontal="center"/>
    </xf>
    <xf fontId="2" applyFont="1" fillId="3" applyFill="1" borderId="2" applyBorder="1" applyAlignment="1">
      <alignment vertical="center" horizontal="center"/>
    </xf>
    <xf fontId="1" applyFont="1" fillId="4" applyFill="1" borderId="3" applyBorder="1" applyAlignment="1">
      <alignment horizontal="center"/>
    </xf>
    <xf fontId="1" applyFont="1" fillId="5" applyFill="1" borderId="4" applyBorder="1" applyAlignment="1">
      <alignment horizontal="center"/>
    </xf>
    <xf fontId="1" applyFont="1" borderId="5" applyBorder="1" applyAlignment="1">
      <alignment vertical="center" horizontal="center"/>
    </xf>
    <xf fontId="1" applyFont="1" fillId="6" applyFill="1" borderId="6" applyBorder="1" applyAlignment="1">
      <alignment horizontal="center"/>
    </xf>
    <xf fontId="3" applyFont="1" borderId="7" applyBorder="1" applyAlignment="1">
      <alignment vertical="center" horizontal="center" wrapText="1"/>
    </xf>
    <xf fontId="1" applyFont="1" borderId="8" applyBorder="1" applyAlignment="1">
      <alignment horizontal="center"/>
    </xf>
    <xf fontId="1" applyFont="1" fillId="7" applyFill="1" borderId="9" applyBorder="1" applyAlignment="1">
      <alignment horizontal="center"/>
    </xf>
    <xf fontId="1" applyFont="1"/>
    <xf fontId="1" applyFont="1" fillId="8" applyFill="1" borderId="10" applyBorder="1" applyAlignment="1">
      <alignment horizontal="center"/>
    </xf>
    <xf fontId="2" applyFont="1" applyAlignment="1">
      <alignment vertical="center"/>
    </xf>
    <xf fontId="1" applyFont="1" fillId="9" applyFill="1" borderId="11" applyBorder="1" applyAlignment="1">
      <alignment horizontal="center"/>
    </xf>
    <xf fontId="1" applyFont="1" borderId="12" applyBorder="1"/>
    <xf fontId="4" applyFont="1" borderId="13" applyBorder="1" applyAlignment="1">
      <alignment vertical="center" horizontal="center" wrapText="1"/>
    </xf>
  </cellStyleXfs>
  <cellXfs count="16">
    <xf numFmtId="0" fontId="0" fillId="0" borderId="0" xfId="0"/>
    <xf xfId="6" quotePrefix="0" pivotButton="0" fontId="1" applyFont="1" fillId="6" applyFill="1" borderId="6" applyBorder="1" applyAlignment="1">
      <alignment horizontal="center"/>
    </xf>
    <xf xfId="3" quotePrefix="0" pivotButton="0" fontId="1" applyFont="1" fillId="4" applyFill="1" borderId="3" applyBorder="1" applyAlignment="1">
      <alignment horizontal="center"/>
    </xf>
    <xf xfId="4" quotePrefix="0" pivotButton="0" fontId="1" applyFont="1" fillId="5" applyFill="1" borderId="4" applyBorder="1" applyAlignment="1">
      <alignment horizontal="center"/>
    </xf>
    <xf xfId="13" quotePrefix="0" pivotButton="0" fontId="1" applyFont="1" fillId="9" applyFill="1" borderId="11" applyBorder="1" applyAlignment="1">
      <alignment horizontal="center"/>
    </xf>
    <xf xfId="11" quotePrefix="0" pivotButton="0" fontId="1" applyFont="1" fillId="8" applyFill="1" borderId="10" applyBorder="1" applyAlignment="1">
      <alignment horizontal="center"/>
    </xf>
    <xf xfId="1" quotePrefix="0" pivotButton="0" fontId="1" applyFont="1" fillId="2" applyFill="1" borderId="1" applyBorder="1" applyAlignment="1">
      <alignment horizontal="center"/>
    </xf>
    <xf xfId="8" quotePrefix="0" pivotButton="0" fontId="1" applyFont="1" borderId="8" applyBorder="1" applyAlignment="1">
      <alignment horizontal="center"/>
    </xf>
    <xf xfId="5" quotePrefix="0" pivotButton="0" fontId="1" applyFont="1" borderId="5" applyBorder="1" applyAlignment="1">
      <alignment vertical="center" horizontal="center"/>
    </xf>
    <xf xfId="14" quotePrefix="0" pivotButton="0" fontId="1" applyFont="1" borderId="12" applyBorder="1"/>
    <xf xfId="9" quotePrefix="0" pivotButton="0" fontId="1" applyFont="1" fillId="7" applyFill="1" borderId="9" applyBorder="1" applyAlignment="1">
      <alignment horizontal="center"/>
    </xf>
    <xf xfId="10" quotePrefix="0" pivotButton="0" fontId="1" applyFont="1"/>
    <xf xfId="2" quotePrefix="0" pivotButton="0" fontId="2" applyFont="1" fillId="3" applyFill="1" borderId="2" applyBorder="1" applyAlignment="1">
      <alignment vertical="center" horizontal="center"/>
    </xf>
    <xf xfId="7" quotePrefix="0" pivotButton="0" fontId="3" applyFont="1" borderId="7" applyBorder="1" applyAlignment="1">
      <alignment vertical="center" horizontal="center" wrapText="1"/>
    </xf>
    <xf xfId="15" quotePrefix="0" pivotButton="0" fontId="4" applyFont="1" borderId="13" applyBorder="1" applyAlignment="1">
      <alignment vertical="center" horizontal="center" wrapText="1"/>
    </xf>
    <xf xfId="12" quotePrefix="0" pivotButton="0" fontId="2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9.20"/>
  <cols>
    <col min="9" max="9" width="17.54" customWidth="1" hidden="0"/>
    <col min="11" max="11" width="24.04" customWidth="1" hidden="0"/>
    <col min="12" max="12" width="17.05" customWidth="1" hidden="0"/>
    <col min="13" max="13" width="8.59" customWidth="1" hidden="0"/>
    <col min="14" max="14" width="6.99" customWidth="1" hidden="0"/>
    <col min="15" max="15" width="16.44" customWidth="1" hidden="0"/>
    <col min="16" max="16" width="19.99" customWidth="1" hidden="0"/>
    <col min="17" max="17" width="19.62" customWidth="1" hidden="0"/>
    <col min="18" max="18" width="18.40" customWidth="1" hidden="0"/>
    <col min="19" max="19" width="20.11" customWidth="1" hidden="0"/>
  </cols>
  <sheetData>
    <row r="1" ht="15.00" customHeight="true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/>
      <c r="K1" s="6" t="s">
        <v>2</v>
      </c>
      <c r="L1" s="6"/>
    </row>
    <row r="2" ht="15.00" customHeight="true">
      <c r="A2" s="7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9" t="s">
        <v>0</v>
      </c>
      <c r="J2" s="7">
        <v>4</v>
      </c>
      <c r="K2" s="9" t="s">
        <v>3</v>
      </c>
      <c r="L2" s="9">
        <f>=256-(2^(8-J2))</f>
      </c>
    </row>
    <row r="3" ht="15.00" customHeight="true">
      <c r="A3" s="8">
        <v>128</v>
      </c>
      <c r="B3" s="8">
        <v>64</v>
      </c>
      <c r="C3" s="8">
        <v>32</v>
      </c>
      <c r="D3" s="8">
        <v>16</v>
      </c>
      <c r="E3" s="8">
        <v>8</v>
      </c>
      <c r="F3" s="8">
        <v>4</v>
      </c>
      <c r="G3" s="8">
        <v>2</v>
      </c>
      <c r="H3" s="8">
        <v>1</v>
      </c>
      <c r="I3" s="9" t="s">
        <v>4</v>
      </c>
      <c r="J3" s="7">
        <f>=2^J2</f>
      </c>
      <c r="K3" s="9" t="s">
        <v>5</v>
      </c>
      <c r="L3" s="9">
        <f>=256-L2</f>
      </c>
    </row>
    <row r="4" ht="15.00" customHeight="true">
      <c r="I4" s="9" t="s">
        <v>6</v>
      </c>
      <c r="J4" s="7">
        <f>=(2^J2)-2</f>
      </c>
      <c r="K4" s="9" t="s">
        <v>7</v>
      </c>
      <c r="L4" s="9" t="s">
        <v>8</v>
      </c>
    </row>
    <row r="5" ht="15.00" customHeight="true">
      <c r="K5" s="9" t="s">
        <v>9</v>
      </c>
      <c r="L5" s="9">
        <f>="255.255.255." &amp; L2</f>
      </c>
    </row>
    <row r="7" ht="15.00" customHeight="true">
      <c r="K7" s="10" t="s">
        <v>10</v>
      </c>
      <c r="L7" s="10"/>
    </row>
    <row r="8" ht="15.00" customHeight="true">
      <c r="K8" s="9" t="s">
        <v>11</v>
      </c>
      <c r="L8" s="9">
        <f>=8-J2</f>
      </c>
    </row>
    <row r="9" ht="15.00" customHeight="true">
      <c r="K9" s="9" t="s">
        <v>5</v>
      </c>
      <c r="L9" s="9">
        <f>=(2^(8-J2))</f>
      </c>
    </row>
    <row r="10" ht="15.00" customHeight="true">
      <c r="K10" s="9" t="s">
        <v>12</v>
      </c>
      <c r="L10" s="9">
        <f>=(2^(L8))-2</f>
      </c>
      <c r="N10" s="11"/>
      <c r="O10" s="11"/>
      <c r="P10" s="11"/>
      <c r="Q10" s="11"/>
      <c r="R10" s="11"/>
    </row>
    <row r="11" ht="18.75" customHeight="true">
      <c r="N11" s="12" t="s">
        <v>13</v>
      </c>
      <c r="O11" s="12"/>
      <c r="P11" s="12"/>
      <c r="Q11" s="12"/>
      <c r="R11" s="12"/>
      <c r="S11" s="12"/>
    </row>
    <row r="12" ht="33.75" customHeight="true">
      <c r="N12" s="13" t="s">
        <v>14</v>
      </c>
      <c r="O12" s="13" t="s">
        <v>15</v>
      </c>
      <c r="P12" s="13" t="s">
        <v>16</v>
      </c>
      <c r="Q12" s="13" t="s">
        <v>17</v>
      </c>
      <c r="R12" s="13" t="s">
        <v>18</v>
      </c>
      <c r="S12" s="13" t="s">
        <v>19</v>
      </c>
    </row>
    <row r="13" ht="37.50" customHeight="true">
      <c r="N13" s="14">
        <v>10</v>
      </c>
      <c r="O13" s="14" t="s">
        <v>20</v>
      </c>
      <c r="P13" s="14" t="s">
        <v>21</v>
      </c>
      <c r="Q13" s="14" t="s">
        <v>22</v>
      </c>
      <c r="R13" s="14">
        <f>="192.168.1." &amp; (VALUE(RIGHT(P13, LEN(P13)-SEARCH(".",P13,10)))+2) &amp; " - " &amp; "192.168.1." &amp; (VALUE(RIGHT(S13, LEN(S13)-SEARCH(".",S13,10)))-1)</f>
      </c>
      <c r="S13" s="14">
        <f>="192.168.1." &amp; (VALUE(RIGHT(P14, LEN(P14)-SEARCH(".",P14,10)))-1)</f>
      </c>
    </row>
    <row r="14" ht="36.00" customHeight="true">
      <c r="N14" s="14">
        <v>20</v>
      </c>
      <c r="O14" s="14" t="s">
        <v>23</v>
      </c>
      <c r="P14" s="14">
        <f>="192.168.1." &amp; ((VALUE(RIGHT(P13, LEN(P13)-SEARCH(".",P13,10)))+$L$3))</f>
      </c>
      <c r="Q14" s="14">
        <f>="192.168.1." &amp; (VALUE(RIGHT(P14, LEN(P14)-SEARCH(".",P14,10))) + 1)</f>
      </c>
      <c r="R14" s="14">
        <f>="192.168.1." &amp; (VALUE(RIGHT(P14, LEN(P14)-SEARCH(".",P14,10)))+2) &amp; " - " &amp; "192.168.1." &amp; (VALUE(RIGHT(S14, LEN(S14)-SEARCH(".",S14,10)))-1)</f>
      </c>
      <c r="S14" s="14">
        <f>="192.168.1." &amp; (VALUE(RIGHT(P15, LEN(P15)-SEARCH(".",P15,10)))-1)</f>
      </c>
    </row>
    <row r="15" ht="42.75" customHeight="true">
      <c r="N15" s="14">
        <v>88</v>
      </c>
      <c r="O15" s="14" t="s">
        <v>24</v>
      </c>
      <c r="P15" s="14">
        <f>="192.168.1." &amp; ((VALUE(RIGHT(P14, LEN(P14)-SEARCH(".",P14,10)))+$L$3))</f>
      </c>
      <c r="Q15" s="14">
        <f>="192.168.1." &amp; (VALUE(RIGHT(P15, LEN(P15)-SEARCH(".",P15,10))) + 1)</f>
      </c>
      <c r="R15" s="14">
        <f>="192.168.1." &amp; (VALUE(RIGHT(P15, LEN(P15)-SEARCH(".",P15,10)))+2) &amp; " - " &amp; "192.168.1." &amp; (VALUE(RIGHT(S15, LEN(S15)-SEARCH(".",S15,10)))-1)</f>
      </c>
      <c r="S15" s="14">
        <f>="192.168.1."  &amp; (VALUE(RIGHT(P16, LEN(P16)-SEARCH(".",P16,10)))-1)</f>
      </c>
    </row>
    <row r="16" ht="42.75" customHeight="true">
      <c r="N16" s="14" t="s">
        <v>25</v>
      </c>
      <c r="O16" s="14" t="s">
        <v>26</v>
      </c>
      <c r="P16" s="14">
        <f>="192.168.1." &amp; ((VALUE(RIGHT(P15, LEN(P15)-SEARCH(".",P15,10)))+$L$3))</f>
      </c>
      <c r="Q16" s="14" t="s">
        <v>25</v>
      </c>
      <c r="R16" s="14" t="s">
        <v>27</v>
      </c>
      <c r="S16" s="14">
        <f>="192.168.1." &amp; ((VALUE(RIGHT(S15, LEN(S15)-SEARCH(".",S15,10)))+$L$3))</f>
      </c>
    </row>
    <row r="25" ht="18.75" customHeight="true">
      <c r="N25" s="15"/>
    </row>
  </sheetData>
  <mergeCells count="5">
    <mergeCell ref="N11:S11"/>
    <mergeCell ref="A1:H1"/>
    <mergeCell ref="I1:J1"/>
    <mergeCell ref="K1:L1"/>
    <mergeCell ref="K7:L7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2026-10-15T04:58:10Z</dcterms:created>
  <dcterms:modified xsi:type="dcterms:W3CDTF">2026-10-15T04:58:10Z</dcterms:modified>
</cp:coreProperties>
</file>